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yfa1" sheetId="1" state="visible" r:id="rId1"/>
  </sheets>
  <definedNames>
    <definedName name="_xlnm._FilterDatabase" localSheetId="0" hidden="1">'Sayfa1'!$A$1:$J$1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₺#,##0.00;[Red](₺#,##0.00);-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  <font>
      <name val="Arial"/>
      <i val="1"/>
      <color rgb="00000000"/>
    </font>
    <font>
      <name val="Arial"/>
      <b val="1"/>
      <color rgb="0000000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9FC"/>
      </patternFill>
    </fill>
    <fill>
      <patternFill patternType="solid">
        <fgColor rgb="00FDECEC"/>
      </patternFill>
    </fill>
    <fill>
      <patternFill patternType="solid">
        <fgColor rgb="00FFFFFF"/>
      </patternFill>
    </fill>
    <fill>
      <patternFill patternType="solid">
        <fgColor rgb="00EAF2FF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 style="thin">
        <color rgb="00D9DEE7"/>
      </left>
      <right style="thin">
        <color rgb="00D9DEE7"/>
      </right>
      <top style="medium">
        <color rgb="00AAB4C5"/>
      </top>
      <bottom style="thin">
        <color rgb="00D9DE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  <xf numFmtId="3" fontId="2" fillId="3" borderId="1" applyAlignment="1" pivotButton="0" quotePrefix="0" xfId="0">
      <alignment vertical="top" wrapText="1"/>
    </xf>
    <xf numFmtId="166" fontId="2" fillId="3" borderId="1" applyAlignment="1" pivotButton="0" quotePrefix="0" xfId="0">
      <alignment vertical="top" wrapText="1"/>
    </xf>
    <xf numFmtId="166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 wrapText="1"/>
    </xf>
    <xf numFmtId="3" fontId="2" fillId="5" borderId="1" applyAlignment="1" pivotButton="0" quotePrefix="0" xfId="0">
      <alignment vertical="top" wrapText="1"/>
    </xf>
    <xf numFmtId="166" fontId="2" fillId="5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166" fontId="3" fillId="5" borderId="1" applyAlignment="1" pivotButton="0" quotePrefix="0" xfId="0">
      <alignment vertical="top" wrapText="1"/>
    </xf>
    <xf numFmtId="166" fontId="3" fillId="3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7" borderId="2" applyAlignment="1" pivotButton="0" quotePrefix="0" xfId="0">
      <alignment vertical="top" wrapText="1"/>
    </xf>
    <xf numFmtId="166" fontId="4" fillId="7" borderId="2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166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4" customWidth="1" min="4" max="4"/>
    <col width="8" customWidth="1" min="5" max="5"/>
    <col width="14" customWidth="1" min="6" max="6"/>
    <col width="14" customWidth="1" min="7" max="7"/>
    <col width="32" customWidth="1" min="8" max="8"/>
    <col width="18" customWidth="1" min="9" max="9"/>
    <col width="24" customWidth="1" min="10" max="10"/>
  </cols>
  <sheetData>
    <row r="1">
      <c r="A1" s="1" t="inlineStr">
        <is>
          <t>Kişi</t>
        </is>
      </c>
      <c r="B1" s="1" t="inlineStr">
        <is>
          <t>Tarih</t>
        </is>
      </c>
      <c r="C1" s="1" t="inlineStr">
        <is>
          <t>Tür</t>
        </is>
      </c>
      <c r="D1" s="1" t="inlineStr">
        <is>
          <t>Ürün / Hareket</t>
        </is>
      </c>
      <c r="E1" s="1" t="inlineStr">
        <is>
          <t>Adet</t>
        </is>
      </c>
      <c r="F1" s="1" t="inlineStr">
        <is>
          <t>Birim Fiyat</t>
        </is>
      </c>
      <c r="G1" s="1" t="inlineStr">
        <is>
          <t>Tutar</t>
        </is>
      </c>
      <c r="H1" s="1" t="inlineStr">
        <is>
          <t>Açıklama</t>
        </is>
      </c>
      <c r="I1" s="1" t="inlineStr">
        <is>
          <t>Link</t>
        </is>
      </c>
      <c r="J1" s="1" t="inlineStr">
        <is>
          <t>Durum / Not</t>
        </is>
      </c>
    </row>
    <row r="2">
      <c r="A2" s="2" t="inlineStr">
        <is>
          <t>Ahmet</t>
        </is>
      </c>
      <c r="B2" s="3" t="n">
        <v>46050</v>
      </c>
      <c r="C2" s="2" t="inlineStr">
        <is>
          <t>Gider</t>
        </is>
      </c>
      <c r="D2" s="2" t="inlineStr">
        <is>
          <t>Spindle motor</t>
        </is>
      </c>
      <c r="E2" s="4" t="n">
        <v>1</v>
      </c>
      <c r="F2" s="5" t="n">
        <v>-1584</v>
      </c>
      <c r="G2" s="6">
        <f>IF(OR(E2="",F2=""),"",E2*F2)</f>
        <v/>
      </c>
      <c r="H2" s="2" t="inlineStr">
        <is>
          <t>Ana işleme motoru</t>
        </is>
      </c>
      <c r="I2" s="2" t="inlineStr"/>
      <c r="J2" s="2" t="inlineStr"/>
    </row>
    <row r="3">
      <c r="A3" s="7" t="inlineStr">
        <is>
          <t>Ahmet</t>
        </is>
      </c>
      <c r="B3" s="8" t="n">
        <v>46050</v>
      </c>
      <c r="C3" s="7" t="inlineStr">
        <is>
          <t>Gider</t>
        </is>
      </c>
      <c r="D3" s="7" t="inlineStr">
        <is>
          <t>Nema 17</t>
        </is>
      </c>
      <c r="E3" s="9" t="n">
        <v>3</v>
      </c>
      <c r="F3" s="10" t="n">
        <v>-259.2</v>
      </c>
      <c r="G3" s="6" t="n">
        <v>-777.5999999999999</v>
      </c>
      <c r="H3" s="7" t="inlineStr">
        <is>
          <t>Robo90</t>
        </is>
      </c>
      <c r="I3" s="7" t="inlineStr"/>
      <c r="J3" s="7" t="inlineStr"/>
    </row>
    <row r="4">
      <c r="A4" s="2" t="inlineStr">
        <is>
          <t>Ahmet</t>
        </is>
      </c>
      <c r="B4" s="3" t="n">
        <v>46050</v>
      </c>
      <c r="C4" s="2" t="inlineStr">
        <is>
          <t>Gider</t>
        </is>
      </c>
      <c r="D4" s="2" t="inlineStr">
        <is>
          <t>Limit Switch</t>
        </is>
      </c>
      <c r="E4" s="4" t="n">
        <v>3</v>
      </c>
      <c r="F4" s="5" t="n">
        <v>-44.06</v>
      </c>
      <c r="G4" s="6" t="n">
        <v>-132.18</v>
      </c>
      <c r="H4" s="2" t="inlineStr">
        <is>
          <t>Robo90</t>
        </is>
      </c>
      <c r="I4" s="2" t="inlineStr"/>
      <c r="J4" s="2" t="inlineStr"/>
    </row>
    <row r="5">
      <c r="A5" s="7" t="inlineStr">
        <is>
          <t>Ahmet</t>
        </is>
      </c>
      <c r="B5" s="8" t="n">
        <v>46050</v>
      </c>
      <c r="C5" s="7" t="inlineStr">
        <is>
          <t>Gider</t>
        </is>
      </c>
      <c r="D5" s="7" t="inlineStr">
        <is>
          <t>CNC Shield</t>
        </is>
      </c>
      <c r="E5" s="9" t="n">
        <v>1</v>
      </c>
      <c r="F5" s="10" t="n">
        <v>-105.6</v>
      </c>
      <c r="G5" s="6" t="n">
        <v>-105.6</v>
      </c>
      <c r="H5" s="7" t="inlineStr">
        <is>
          <t>Motorobit</t>
        </is>
      </c>
      <c r="I5" s="7" t="inlineStr"/>
      <c r="J5" s="7" t="inlineStr"/>
    </row>
    <row r="6">
      <c r="A6" s="2" t="inlineStr">
        <is>
          <t>Ahmet</t>
        </is>
      </c>
      <c r="B6" s="3" t="n">
        <v>46050</v>
      </c>
      <c r="C6" s="2" t="inlineStr">
        <is>
          <t>Gider</t>
        </is>
      </c>
      <c r="D6" s="2" t="inlineStr">
        <is>
          <t>Nodemcu V3</t>
        </is>
      </c>
      <c r="E6" s="4" t="n">
        <v>1</v>
      </c>
      <c r="F6" s="5" t="n">
        <v>-160.7</v>
      </c>
      <c r="G6" s="6" t="n">
        <v>-160.7</v>
      </c>
      <c r="H6" s="2" t="inlineStr">
        <is>
          <t>Robo90</t>
        </is>
      </c>
      <c r="I6" s="2" t="inlineStr"/>
      <c r="J6" s="2" t="inlineStr"/>
    </row>
    <row r="7">
      <c r="A7" s="7" t="inlineStr">
        <is>
          <t>Ahmet</t>
        </is>
      </c>
      <c r="B7" s="8" t="n">
        <v>46050</v>
      </c>
      <c r="C7" s="7" t="inlineStr">
        <is>
          <t>Gider</t>
        </is>
      </c>
      <c r="D7" s="7" t="inlineStr">
        <is>
          <t>SD Kart modülü</t>
        </is>
      </c>
      <c r="E7" s="9" t="n">
        <v>1</v>
      </c>
      <c r="F7" s="10" t="n">
        <v>-25.92</v>
      </c>
      <c r="G7" s="6" t="n">
        <v>-25.92</v>
      </c>
      <c r="H7" s="7" t="inlineStr">
        <is>
          <t>Robo90</t>
        </is>
      </c>
      <c r="I7" s="7" t="inlineStr"/>
      <c r="J7" s="7" t="inlineStr"/>
    </row>
    <row r="8">
      <c r="A8" s="2" t="inlineStr">
        <is>
          <t>Ahmet</t>
        </is>
      </c>
      <c r="B8" s="3" t="n">
        <v>46050</v>
      </c>
      <c r="C8" s="2" t="inlineStr">
        <is>
          <t>Gider</t>
        </is>
      </c>
      <c r="D8" s="2" t="inlineStr">
        <is>
          <t>ER11 Pens</t>
        </is>
      </c>
      <c r="E8" s="4" t="n">
        <v>1</v>
      </c>
      <c r="F8" s="5" t="n">
        <v>-580.8</v>
      </c>
      <c r="G8" s="6" t="n">
        <v>-580.8</v>
      </c>
      <c r="H8" s="2" t="inlineStr">
        <is>
          <t>Motorobit</t>
        </is>
      </c>
      <c r="I8" s="2" t="inlineStr"/>
      <c r="J8" s="2" t="inlineStr"/>
    </row>
    <row r="9">
      <c r="A9" s="7" t="inlineStr">
        <is>
          <t>Ahmet</t>
        </is>
      </c>
      <c r="B9" s="8" t="n">
        <v>46050</v>
      </c>
      <c r="C9" s="7" t="inlineStr">
        <is>
          <t>Gider</t>
        </is>
      </c>
      <c r="D9" s="7" t="inlineStr">
        <is>
          <t>1200W booster</t>
        </is>
      </c>
      <c r="E9" s="9" t="n">
        <v>1</v>
      </c>
      <c r="F9" s="10" t="n">
        <v>-739.2</v>
      </c>
      <c r="G9" s="6" t="n">
        <v>-739.2</v>
      </c>
      <c r="H9" s="7" t="inlineStr">
        <is>
          <t>Motorobit</t>
        </is>
      </c>
      <c r="I9" s="7" t="inlineStr"/>
      <c r="J9" s="7" t="inlineStr"/>
    </row>
    <row r="10">
      <c r="A10" s="2" t="inlineStr">
        <is>
          <t>Ahmet</t>
        </is>
      </c>
      <c r="B10" s="3" t="n">
        <v>46050</v>
      </c>
      <c r="C10" s="2" t="inlineStr">
        <is>
          <t>Gider</t>
        </is>
      </c>
      <c r="D10" s="2" t="inlineStr">
        <is>
          <t>600W güç kaynağı</t>
        </is>
      </c>
      <c r="E10" s="4" t="n">
        <v>1</v>
      </c>
      <c r="F10" s="5" t="n">
        <v>-700</v>
      </c>
      <c r="G10" s="6" t="n">
        <v>-700</v>
      </c>
      <c r="H10" s="2" t="inlineStr">
        <is>
          <t>ikinci el</t>
        </is>
      </c>
      <c r="I10" s="2" t="inlineStr"/>
      <c r="J10" s="2" t="inlineStr"/>
    </row>
    <row r="11">
      <c r="A11" s="7" t="inlineStr">
        <is>
          <t>Kayra</t>
        </is>
      </c>
      <c r="B11" s="8" t="n">
        <v>46050</v>
      </c>
      <c r="C11" s="7" t="inlineStr">
        <is>
          <t>Gider</t>
        </is>
      </c>
      <c r="D11" s="7" t="inlineStr">
        <is>
          <t>Spindle motor</t>
        </is>
      </c>
      <c r="E11" s="9" t="n">
        <v>1</v>
      </c>
      <c r="F11" s="10" t="n">
        <v>-1584</v>
      </c>
      <c r="G11" s="6" t="n">
        <v>-1584</v>
      </c>
      <c r="H11" s="7" t="inlineStr">
        <is>
          <t>Motorobit</t>
        </is>
      </c>
      <c r="I11" s="7" t="inlineStr"/>
      <c r="J11" s="7" t="inlineStr"/>
    </row>
    <row r="12">
      <c r="A12" s="2" t="inlineStr">
        <is>
          <t>Kayra</t>
        </is>
      </c>
      <c r="B12" s="3" t="n">
        <v>46050</v>
      </c>
      <c r="C12" s="2" t="inlineStr">
        <is>
          <t>Gider</t>
        </is>
      </c>
      <c r="D12" s="2" t="inlineStr">
        <is>
          <t>600W güç kaynağı</t>
        </is>
      </c>
      <c r="E12" s="4" t="n">
        <v>1</v>
      </c>
      <c r="F12" s="5" t="n">
        <v>-700</v>
      </c>
      <c r="G12" s="6" t="n">
        <v>-700</v>
      </c>
      <c r="H12" s="2" t="inlineStr">
        <is>
          <t>ikinci el</t>
        </is>
      </c>
      <c r="I12" s="2" t="inlineStr"/>
      <c r="J12" s="2" t="inlineStr"/>
    </row>
    <row r="13">
      <c r="A13" s="7" t="inlineStr">
        <is>
          <t>Kayra</t>
        </is>
      </c>
      <c r="B13" s="8" t="n">
        <v>46050</v>
      </c>
      <c r="C13" s="7" t="inlineStr">
        <is>
          <t>Gider</t>
        </is>
      </c>
      <c r="D13" s="7" t="inlineStr">
        <is>
          <t>CNC Shield</t>
        </is>
      </c>
      <c r="E13" s="9" t="n">
        <v>1</v>
      </c>
      <c r="F13" s="10" t="n">
        <v>-105.6</v>
      </c>
      <c r="G13" s="6" t="n">
        <v>-105.6</v>
      </c>
      <c r="H13" s="7" t="inlineStr">
        <is>
          <t>Motorobit</t>
        </is>
      </c>
      <c r="I13" s="7" t="inlineStr"/>
      <c r="J13" s="7" t="inlineStr"/>
    </row>
    <row r="14">
      <c r="A14" s="2" t="inlineStr">
        <is>
          <t>Kayra</t>
        </is>
      </c>
      <c r="B14" s="3" t="n">
        <v>46050</v>
      </c>
      <c r="C14" s="2" t="inlineStr">
        <is>
          <t>Gider</t>
        </is>
      </c>
      <c r="D14" s="2" t="inlineStr">
        <is>
          <t>ER11 Pens</t>
        </is>
      </c>
      <c r="E14" s="4" t="n">
        <v>1</v>
      </c>
      <c r="F14" s="5" t="n">
        <v>-580.8</v>
      </c>
      <c r="G14" s="6" t="n">
        <v>-580.8</v>
      </c>
      <c r="H14" s="2" t="inlineStr">
        <is>
          <t>Motorobit</t>
        </is>
      </c>
      <c r="I14" s="2" t="inlineStr"/>
      <c r="J14" s="2" t="inlineStr"/>
    </row>
    <row r="15">
      <c r="A15" s="7" t="inlineStr">
        <is>
          <t>Kayra</t>
        </is>
      </c>
      <c r="B15" s="8" t="n">
        <v>46066</v>
      </c>
      <c r="C15" s="7" t="inlineStr">
        <is>
          <t>Gider</t>
        </is>
      </c>
      <c r="D15" s="7" t="inlineStr">
        <is>
          <t>Hosting alımı</t>
        </is>
      </c>
      <c r="E15" s="9" t="n">
        <v>1</v>
      </c>
      <c r="F15" s="10" t="n">
        <v>-777.6</v>
      </c>
      <c r="G15" s="6" t="n">
        <v>-777.6</v>
      </c>
      <c r="H15" s="7" t="inlineStr">
        <is>
          <t>1 yıllık web hosting</t>
        </is>
      </c>
      <c r="I15" s="7" t="inlineStr"/>
      <c r="J15" s="7" t="inlineStr"/>
    </row>
    <row r="16">
      <c r="A16" s="2" t="inlineStr">
        <is>
          <t>Kayra</t>
        </is>
      </c>
      <c r="B16" s="3" t="n">
        <v>46066</v>
      </c>
      <c r="C16" s="2" t="inlineStr">
        <is>
          <t>Gider</t>
        </is>
      </c>
      <c r="D16" s="2" t="inlineStr">
        <is>
          <t>Domain alımı</t>
        </is>
      </c>
      <c r="E16" s="4" t="n">
        <v>1</v>
      </c>
      <c r="F16" s="5" t="n">
        <v>-1219.66</v>
      </c>
      <c r="G16" s="6" t="n">
        <v>-1219.66</v>
      </c>
      <c r="H16" s="2" t="inlineStr">
        <is>
          <t>2 yıllık domain alımı</t>
        </is>
      </c>
      <c r="I16" s="2" t="inlineStr"/>
      <c r="J16" s="2" t="inlineStr"/>
    </row>
    <row r="17">
      <c r="A17" s="7" t="inlineStr">
        <is>
          <t>Ahmet</t>
        </is>
      </c>
      <c r="B17" s="8" t="n">
        <v>46071</v>
      </c>
      <c r="C17" s="7" t="inlineStr">
        <is>
          <t>Gider</t>
        </is>
      </c>
      <c r="D17" s="7" t="inlineStr">
        <is>
          <t>A4988 Sürücü</t>
        </is>
      </c>
      <c r="E17" s="9" t="n">
        <v>4</v>
      </c>
      <c r="F17" s="10" t="n">
        <v>-70.34999999999999</v>
      </c>
      <c r="G17" s="6" t="n">
        <v>-281.4</v>
      </c>
      <c r="H17" s="7" t="inlineStr">
        <is>
          <t>Rhino</t>
        </is>
      </c>
      <c r="I17" s="7" t="inlineStr"/>
      <c r="J17" s="7" t="inlineStr"/>
    </row>
    <row r="18">
      <c r="A18" s="2" t="inlineStr">
        <is>
          <t>Kayra</t>
        </is>
      </c>
      <c r="B18" s="3" t="n">
        <v>46075</v>
      </c>
      <c r="C18" s="2" t="inlineStr">
        <is>
          <t>Gider</t>
        </is>
      </c>
      <c r="D18" s="2" t="inlineStr">
        <is>
          <t>Malzeme</t>
        </is>
      </c>
      <c r="E18" s="4" t="n">
        <v>1</v>
      </c>
      <c r="F18" s="5" t="n">
        <v>-360</v>
      </c>
      <c r="G18" s="6" t="n">
        <v>-360</v>
      </c>
      <c r="H18" s="2" t="inlineStr">
        <is>
          <t>Lehim ve sarf</t>
        </is>
      </c>
      <c r="I18" s="2" t="inlineStr"/>
      <c r="J18" s="2" t="inlineStr"/>
    </row>
    <row r="19">
      <c r="A19" s="7" t="inlineStr">
        <is>
          <t>Kayra</t>
        </is>
      </c>
      <c r="B19" s="8" t="n">
        <v>46098</v>
      </c>
      <c r="C19" s="7" t="inlineStr">
        <is>
          <t>Gider</t>
        </is>
      </c>
      <c r="D19" s="7" t="inlineStr">
        <is>
          <t>Sigma Profil</t>
        </is>
      </c>
      <c r="E19" s="9" t="n">
        <v>1</v>
      </c>
      <c r="F19" s="10" t="n">
        <v>-2496.69</v>
      </c>
      <c r="G19" s="6" t="n">
        <v>-2496.69</v>
      </c>
      <c r="H19" s="7" t="inlineStr">
        <is>
          <t>6 m sigma profil + vida + somun</t>
        </is>
      </c>
      <c r="I19" s="7" t="inlineStr"/>
      <c r="J19" s="7" t="inlineStr"/>
    </row>
    <row r="20">
      <c r="A20" s="2" t="inlineStr">
        <is>
          <t>Kayra</t>
        </is>
      </c>
      <c r="B20" s="3" t="n">
        <v>46098</v>
      </c>
      <c r="C20" s="2" t="inlineStr">
        <is>
          <t>Gider</t>
        </is>
      </c>
      <c r="D20" s="2" t="inlineStr">
        <is>
          <t>Mil</t>
        </is>
      </c>
      <c r="E20" s="4" t="n">
        <v>3</v>
      </c>
      <c r="F20" s="5" t="n">
        <v>-200</v>
      </c>
      <c r="G20" s="6" t="n">
        <v>-600</v>
      </c>
      <c r="H20" s="2" t="inlineStr">
        <is>
          <t>12 mm mil alımı ve kesimi</t>
        </is>
      </c>
      <c r="I20" s="2" t="inlineStr"/>
      <c r="J20" s="2" t="inlineStr"/>
    </row>
    <row r="21">
      <c r="A21" s="7" t="inlineStr">
        <is>
          <t>Kayra</t>
        </is>
      </c>
      <c r="B21" s="8" t="n">
        <v>46098</v>
      </c>
      <c r="C21" s="7" t="inlineStr">
        <is>
          <t>Gider</t>
        </is>
      </c>
      <c r="D21" s="7" t="inlineStr">
        <is>
          <t>Soğutma sist.</t>
        </is>
      </c>
      <c r="E21" s="9" t="n">
        <v>1</v>
      </c>
      <c r="F21" s="10" t="n">
        <v>-100</v>
      </c>
      <c r="G21" s="6" t="n">
        <v>-100</v>
      </c>
      <c r="H21" s="7" t="inlineStr">
        <is>
          <t>Soğutma için 8 dirsek, 2 uç</t>
        </is>
      </c>
      <c r="I21" s="7" t="inlineStr"/>
      <c r="J21" s="7" t="inlineStr"/>
    </row>
    <row r="22">
      <c r="A22" s="2" t="inlineStr">
        <is>
          <t>Kayra</t>
        </is>
      </c>
      <c r="B22" s="3" t="n">
        <v>46098</v>
      </c>
      <c r="C22" s="2" t="inlineStr">
        <is>
          <t>Gider</t>
        </is>
      </c>
      <c r="D22" s="2" t="inlineStr">
        <is>
          <t>Vidalar</t>
        </is>
      </c>
      <c r="E22" s="4" t="n">
        <v>1</v>
      </c>
      <c r="F22" s="5" t="n">
        <v>-150</v>
      </c>
      <c r="G22" s="6" t="n">
        <v>-150</v>
      </c>
      <c r="H22" s="2" t="inlineStr">
        <is>
          <t>M6/M4 vidalar + 8 mm dişli mil</t>
        </is>
      </c>
      <c r="I22" s="2" t="inlineStr"/>
      <c r="J22" s="2" t="inlineStr"/>
    </row>
    <row r="23">
      <c r="A23" s="7" t="inlineStr">
        <is>
          <t>Kayra</t>
        </is>
      </c>
      <c r="B23" s="8" t="n">
        <v>46096</v>
      </c>
      <c r="C23" s="7" t="inlineStr">
        <is>
          <t>Gider</t>
        </is>
      </c>
      <c r="D23" s="7" t="inlineStr">
        <is>
          <t>Domain alımı</t>
        </is>
      </c>
      <c r="E23" s="9" t="n">
        <v>1</v>
      </c>
      <c r="F23" s="10" t="n">
        <v>-335.15</v>
      </c>
      <c r="G23" s="6" t="n">
        <v>-335.15</v>
      </c>
      <c r="H23" s="7" t="inlineStr">
        <is>
          <t>Domain yenileme</t>
        </is>
      </c>
      <c r="I23" s="7" t="inlineStr"/>
      <c r="J23" s="7" t="inlineStr"/>
    </row>
    <row r="24">
      <c r="A24" s="2" t="inlineStr">
        <is>
          <t>Ahmet</t>
        </is>
      </c>
      <c r="B24" s="3" t="n">
        <v>46096</v>
      </c>
      <c r="C24" s="2" t="inlineStr">
        <is>
          <t>Gider</t>
        </is>
      </c>
      <c r="D24" s="2" t="inlineStr">
        <is>
          <t>Domain alımı</t>
        </is>
      </c>
      <c r="E24" s="4" t="n">
        <v>1</v>
      </c>
      <c r="F24" s="5" t="n">
        <v>-335.16</v>
      </c>
      <c r="G24" s="6" t="n">
        <v>-335.16</v>
      </c>
      <c r="H24" s="2" t="inlineStr">
        <is>
          <t>Domain yenileme</t>
        </is>
      </c>
      <c r="I24" s="2" t="inlineStr"/>
      <c r="J24" s="2" t="inlineStr"/>
    </row>
    <row r="25">
      <c r="A25" s="7" t="inlineStr">
        <is>
          <t>Kayra</t>
        </is>
      </c>
      <c r="B25" s="8" t="n">
        <v>46098</v>
      </c>
      <c r="C25" s="7" t="inlineStr">
        <is>
          <t>Gider</t>
        </is>
      </c>
      <c r="D25" s="7" t="inlineStr">
        <is>
          <t>Rulman</t>
        </is>
      </c>
      <c r="E25" s="9" t="n">
        <v>30</v>
      </c>
      <c r="F25" s="10" t="n">
        <v>-40</v>
      </c>
      <c r="G25" s="6" t="n">
        <v>-1200</v>
      </c>
      <c r="H25" s="7" t="inlineStr">
        <is>
          <t>8/12 mm rulman alımı</t>
        </is>
      </c>
      <c r="I25" s="7" t="inlineStr"/>
      <c r="J25" s="7" t="inlineStr"/>
    </row>
    <row r="26">
      <c r="A26" s="11" t="inlineStr"/>
      <c r="B26" s="11" t="n"/>
      <c r="C26" s="11" t="inlineStr">
        <is>
          <t>Not</t>
        </is>
      </c>
      <c r="D26" s="11" t="inlineStr">
        <is>
          <t>Foxkyra</t>
        </is>
      </c>
      <c r="E26" s="11" t="n"/>
      <c r="F26" s="11" t="n"/>
      <c r="G26" s="11" t="n"/>
      <c r="H26" s="11" t="inlineStr"/>
      <c r="I26" s="11" t="inlineStr"/>
      <c r="J26" s="11" t="inlineStr">
        <is>
          <t>callisto</t>
        </is>
      </c>
    </row>
    <row r="27">
      <c r="A27" s="12" t="inlineStr">
        <is>
          <t>Ahmet</t>
        </is>
      </c>
      <c r="B27" s="12" t="n"/>
      <c r="C27" s="12" t="inlineStr">
        <is>
          <t>Not</t>
        </is>
      </c>
      <c r="D27" s="12" t="inlineStr">
        <is>
          <t>Kişi bazlı bakiye</t>
        </is>
      </c>
      <c r="E27" s="12" t="n"/>
      <c r="F27" s="12" t="n"/>
      <c r="G27" s="13">
        <f>SUMIF(A:A, "Ahmet", G:G)</f>
        <v/>
      </c>
      <c r="H27" s="12" t="inlineStr">
        <is>
          <t>Eski toplam notu</t>
        </is>
      </c>
      <c r="I27" s="12" t="inlineStr"/>
      <c r="J27" s="12" t="inlineStr"/>
    </row>
    <row r="28">
      <c r="A28" s="11" t="inlineStr">
        <is>
          <t>Kayra</t>
        </is>
      </c>
      <c r="B28" s="11" t="n"/>
      <c r="C28" s="11" t="inlineStr">
        <is>
          <t>Not</t>
        </is>
      </c>
      <c r="D28" s="11" t="inlineStr">
        <is>
          <t>Kişi bazlı bakiye</t>
        </is>
      </c>
      <c r="E28" s="11" t="n"/>
      <c r="F28" s="11" t="n"/>
      <c r="G28" s="14">
        <f>SUMIF(A:A, "Kayra", G:G)</f>
        <v/>
      </c>
      <c r="H28" s="11" t="inlineStr">
        <is>
          <t>Eski toplam notu</t>
        </is>
      </c>
      <c r="I28" s="11" t="inlineStr"/>
      <c r="J28" s="11" t="inlineStr"/>
    </row>
    <row r="29">
      <c r="A29" s="12" t="inlineStr">
        <is>
          <t>Ahmet</t>
        </is>
      </c>
      <c r="B29" s="12" t="n"/>
      <c r="C29" s="12" t="inlineStr">
        <is>
          <t>Not</t>
        </is>
      </c>
      <c r="D29" s="12" t="inlineStr">
        <is>
          <t>Kişi bazlı bakiye</t>
        </is>
      </c>
      <c r="E29" s="12" t="n"/>
      <c r="F29" s="12" t="n"/>
      <c r="G29" s="13">
        <f>(10209-5422)/2</f>
        <v/>
      </c>
      <c r="H29" s="12" t="inlineStr">
        <is>
          <t>Eski toplam notu</t>
        </is>
      </c>
      <c r="I29" s="12" t="inlineStr"/>
      <c r="J29" s="12" t="inlineStr"/>
    </row>
    <row r="30">
      <c r="A30" s="11" t="inlineStr"/>
      <c r="B30" s="11" t="n"/>
      <c r="C30" s="11" t="inlineStr">
        <is>
          <t>Not</t>
        </is>
      </c>
      <c r="D30" s="11" t="inlineStr">
        <is>
          <t>Ahmetin borcu</t>
        </is>
      </c>
      <c r="E30" s="11" t="n"/>
      <c r="F30" s="11" t="n"/>
      <c r="G30" s="11" t="n"/>
      <c r="H30" s="11" t="inlineStr"/>
      <c r="I30" s="11" t="inlineStr"/>
      <c r="J30" s="11" t="inlineStr">
        <is>
          <t>07.04.26 itibariyle</t>
        </is>
      </c>
    </row>
    <row r="31">
      <c r="A31" s="12" t="inlineStr"/>
      <c r="B31" s="12" t="n"/>
      <c r="C31" s="12" t="inlineStr">
        <is>
          <t>Not</t>
        </is>
      </c>
      <c r="D31" s="12" t="inlineStr">
        <is>
          <t>Borç ödendi</t>
        </is>
      </c>
      <c r="E31" s="12" t="n"/>
      <c r="F31" s="12" t="n"/>
      <c r="G31" s="12" t="n"/>
      <c r="H31" s="12" t="inlineStr"/>
      <c r="I31" s="12" t="inlineStr"/>
      <c r="J31" s="12" t="inlineStr"/>
    </row>
    <row r="32">
      <c r="A32" s="2" t="inlineStr"/>
      <c r="B32" s="3" t="n">
        <v>46119</v>
      </c>
      <c r="C32" s="2" t="inlineStr">
        <is>
          <t>Gider</t>
        </is>
      </c>
      <c r="D32" s="2" t="inlineStr">
        <is>
          <t>Robo90</t>
        </is>
      </c>
      <c r="E32" s="4" t="n">
        <v>1</v>
      </c>
      <c r="F32" s="5" t="n">
        <v>1125</v>
      </c>
      <c r="G32" s="6">
        <f>IF(OR(E32="",F32=""),"",E32*F32)</f>
        <v/>
      </c>
      <c r="H32" s="2" t="inlineStr"/>
      <c r="I32" s="2" t="inlineStr"/>
      <c r="J32" s="2" t="inlineStr"/>
    </row>
    <row r="33">
      <c r="A33" s="7" t="inlineStr"/>
      <c r="B33" s="7" t="n"/>
      <c r="C33" s="7" t="inlineStr">
        <is>
          <t>Gider</t>
        </is>
      </c>
      <c r="D33" s="7" t="inlineStr">
        <is>
          <t>Market fişi</t>
        </is>
      </c>
      <c r="E33" s="9" t="n">
        <v>1</v>
      </c>
      <c r="F33" s="10" t="n">
        <v>600</v>
      </c>
      <c r="G33" s="6">
        <f>IF(OR(E33="",F33=""),"",E33*F33)</f>
        <v/>
      </c>
      <c r="H33" s="7" t="inlineStr"/>
      <c r="I33" s="7" t="inlineStr"/>
      <c r="J33" s="7" t="inlineStr"/>
    </row>
    <row r="34">
      <c r="A34" s="2" t="inlineStr"/>
      <c r="B34" s="2" t="n"/>
      <c r="C34" s="2" t="inlineStr">
        <is>
          <t>Gider</t>
        </is>
      </c>
      <c r="D34" s="2" t="inlineStr">
        <is>
          <t>TPU filament</t>
        </is>
      </c>
      <c r="E34" s="4" t="n">
        <v>1</v>
      </c>
      <c r="F34" s="5" t="n">
        <v>902</v>
      </c>
      <c r="G34" s="6">
        <f>IF(OR(E34="",F34=""),"",E34*F34)</f>
        <v/>
      </c>
      <c r="H34" s="2" t="inlineStr">
        <is>
          <t>Rhino3D için</t>
        </is>
      </c>
      <c r="I34" s="2" t="inlineStr"/>
      <c r="J34" s="2" t="inlineStr"/>
    </row>
    <row r="35">
      <c r="A35" s="7" t="inlineStr"/>
      <c r="B35" s="7" t="n"/>
      <c r="C35" s="15" t="inlineStr">
        <is>
          <t>Gelir</t>
        </is>
      </c>
      <c r="D35" s="7" t="inlineStr">
        <is>
          <t>Tarık baba geliri</t>
        </is>
      </c>
      <c r="E35" s="9" t="n">
        <v>1</v>
      </c>
      <c r="F35" s="10" t="n">
        <v>600</v>
      </c>
      <c r="G35" s="10">
        <f>IF(OR(E35="",F35=""),"",E35*F35)</f>
        <v/>
      </c>
      <c r="H35" s="7" t="inlineStr"/>
      <c r="I35" s="7" t="inlineStr"/>
      <c r="J35" s="7" t="inlineStr"/>
    </row>
    <row r="36">
      <c r="A36" s="2" t="inlineStr"/>
      <c r="B36" s="2" t="n"/>
      <c r="C36" s="2" t="inlineStr">
        <is>
          <t>Gider</t>
        </is>
      </c>
      <c r="D36" s="2" t="inlineStr">
        <is>
          <t>Market</t>
        </is>
      </c>
      <c r="E36" s="4" t="n">
        <v>1</v>
      </c>
      <c r="F36" s="5" t="n">
        <v>370</v>
      </c>
      <c r="G36" s="6">
        <f>IF(OR(E36="",F36=""),"",E36*F36)</f>
        <v/>
      </c>
      <c r="H36" s="2" t="inlineStr"/>
      <c r="I36" s="2" t="inlineStr"/>
      <c r="J36" s="2" t="inlineStr"/>
    </row>
    <row r="37">
      <c r="A37" s="7" t="inlineStr">
        <is>
          <t>Ahmet</t>
        </is>
      </c>
      <c r="B37" s="7" t="n"/>
      <c r="C37" s="7" t="inlineStr">
        <is>
          <t>Gider</t>
        </is>
      </c>
      <c r="D37" s="7" t="inlineStr">
        <is>
          <t>Modem</t>
        </is>
      </c>
      <c r="E37" s="9" t="n">
        <v>1</v>
      </c>
      <c r="F37" s="10" t="n">
        <v>-1000</v>
      </c>
      <c r="G37" s="6" t="n">
        <v>-1000</v>
      </c>
      <c r="H37" s="7" t="inlineStr"/>
      <c r="I37" s="7" t="inlineStr"/>
      <c r="J37" s="7" t="inlineStr"/>
    </row>
    <row r="38">
      <c r="A38" s="2" t="inlineStr"/>
      <c r="B38" s="2" t="n"/>
      <c r="C38" s="2" t="inlineStr">
        <is>
          <t>Gider</t>
        </is>
      </c>
      <c r="D38" s="2" t="inlineStr">
        <is>
          <t>Börek</t>
        </is>
      </c>
      <c r="E38" s="4" t="n">
        <v>1</v>
      </c>
      <c r="F38" s="5" t="n">
        <v>400</v>
      </c>
      <c r="G38" s="6">
        <f>IF(OR(E38="",F38=""),"",E38*F38)</f>
        <v/>
      </c>
      <c r="H38" s="2" t="inlineStr"/>
      <c r="I38" s="2" t="inlineStr"/>
      <c r="J38" s="2" t="inlineStr"/>
    </row>
    <row r="39">
      <c r="A39" s="7" t="inlineStr">
        <is>
          <t>Kayra</t>
        </is>
      </c>
      <c r="B39" s="7" t="n"/>
      <c r="C39" s="7" t="inlineStr">
        <is>
          <t>Gider</t>
        </is>
      </c>
      <c r="D39" s="7" t="inlineStr">
        <is>
          <t>Monitör</t>
        </is>
      </c>
      <c r="E39" s="9" t="n">
        <v>1</v>
      </c>
      <c r="F39" s="10" t="n">
        <v>-1600</v>
      </c>
      <c r="G39" s="6" t="n">
        <v>-1600</v>
      </c>
      <c r="H39" s="7" t="inlineStr">
        <is>
          <t>Kayra için</t>
        </is>
      </c>
      <c r="I39" s="7" t="inlineStr"/>
      <c r="J39" s="7" t="inlineStr"/>
    </row>
    <row r="40">
      <c r="A40" s="2" t="inlineStr">
        <is>
          <t>Ahmet</t>
        </is>
      </c>
      <c r="B40" s="2" t="n"/>
      <c r="C40" s="2" t="inlineStr">
        <is>
          <t>Gider</t>
        </is>
      </c>
      <c r="D40" s="2" t="inlineStr">
        <is>
          <t>Siyah PLA</t>
        </is>
      </c>
      <c r="E40" s="4" t="n">
        <v>1</v>
      </c>
      <c r="F40" s="5" t="n">
        <v>550</v>
      </c>
      <c r="G40" s="6">
        <f>IF(OR(E40="",F40=""),"",E40*F40)</f>
        <v/>
      </c>
      <c r="H40" s="2" t="inlineStr">
        <is>
          <t>Ahmet için</t>
        </is>
      </c>
      <c r="I40" s="2" t="inlineStr"/>
      <c r="J40" s="2" t="inlineStr"/>
    </row>
    <row r="41">
      <c r="A41" s="7" t="inlineStr">
        <is>
          <t>Ahmet</t>
        </is>
      </c>
      <c r="B41" s="8" t="n">
        <v>46190</v>
      </c>
      <c r="C41" s="7" t="inlineStr">
        <is>
          <t>Gider</t>
        </is>
      </c>
      <c r="D41" s="7" t="inlineStr">
        <is>
          <t>Gemini plus</t>
        </is>
      </c>
      <c r="E41" s="9" t="n">
        <v>1</v>
      </c>
      <c r="F41" s="10" t="n">
        <v>-50</v>
      </c>
      <c r="G41" s="6" t="n">
        <v>-50</v>
      </c>
      <c r="H41" s="7" t="inlineStr">
        <is>
          <t>Aylık 50 TL</t>
        </is>
      </c>
      <c r="I41" s="7" t="inlineStr"/>
      <c r="J41" s="7" t="inlineStr"/>
    </row>
    <row r="42">
      <c r="A42" s="2" t="inlineStr">
        <is>
          <t>Ahmet</t>
        </is>
      </c>
      <c r="B42" s="3" t="n">
        <v>46195</v>
      </c>
      <c r="C42" s="2" t="inlineStr">
        <is>
          <t>Gider</t>
        </is>
      </c>
      <c r="D42" s="2" t="inlineStr">
        <is>
          <t>Trae</t>
        </is>
      </c>
      <c r="E42" s="4" t="n">
        <v>1</v>
      </c>
      <c r="F42" s="5" t="n">
        <v>-480</v>
      </c>
      <c r="G42" s="6" t="n">
        <v>-480</v>
      </c>
      <c r="H42" s="2" t="inlineStr">
        <is>
          <t>Aylık 10 USD, Ahmet için</t>
        </is>
      </c>
      <c r="I42" s="2" t="inlineStr"/>
      <c r="J42" s="2" t="inlineStr"/>
    </row>
    <row r="43">
      <c r="A43" s="7" t="inlineStr"/>
      <c r="B43" s="8" t="n">
        <v>46196</v>
      </c>
      <c r="C43" s="15" t="inlineStr">
        <is>
          <t>Gelir</t>
        </is>
      </c>
      <c r="D43" s="7" t="inlineStr">
        <is>
          <t>Tarık baba sipariş</t>
        </is>
      </c>
      <c r="E43" s="9" t="n">
        <v>1</v>
      </c>
      <c r="F43" s="10" t="n">
        <v>950</v>
      </c>
      <c r="G43" s="10" t="n">
        <v>950</v>
      </c>
      <c r="H43" s="7" t="inlineStr"/>
      <c r="I43" s="7" t="inlineStr"/>
      <c r="J43" s="7" t="inlineStr"/>
    </row>
    <row r="44">
      <c r="A44" s="2" t="inlineStr">
        <is>
          <t>Ahmet</t>
        </is>
      </c>
      <c r="B44" s="3" t="n">
        <v>46225</v>
      </c>
      <c r="C44" s="2" t="inlineStr">
        <is>
          <t>Gider</t>
        </is>
      </c>
      <c r="D44" s="2" t="inlineStr">
        <is>
          <t>Trae</t>
        </is>
      </c>
      <c r="E44" s="4" t="n">
        <v>1</v>
      </c>
      <c r="F44" s="5" t="n">
        <v>-480</v>
      </c>
      <c r="G44" s="6" t="n">
        <v>-480</v>
      </c>
      <c r="H44" s="2" t="inlineStr">
        <is>
          <t>Aylık 10 USD, Ahmet için</t>
        </is>
      </c>
      <c r="I44" s="2" t="inlineStr"/>
      <c r="J44" s="2" t="inlineStr"/>
    </row>
    <row r="46">
      <c r="A46" s="16" t="inlineStr">
        <is>
          <t>Toplam Gider</t>
        </is>
      </c>
      <c r="B46" s="16" t="n"/>
      <c r="C46" s="16" t="n"/>
      <c r="D46" s="16" t="n"/>
      <c r="E46" s="16" t="n"/>
      <c r="F46" s="16" t="n"/>
      <c r="G46" s="17">
        <f>ABS(SUMIF(C2:C44,"Gider",G2:G44))</f>
        <v/>
      </c>
      <c r="H46" s="16" t="n"/>
      <c r="I46" s="16" t="n"/>
      <c r="J46" s="16" t="n"/>
    </row>
    <row r="47">
      <c r="A47" s="18" t="inlineStr">
        <is>
          <t>Toplam Gelir</t>
        </is>
      </c>
      <c r="B47" s="18" t="n"/>
      <c r="C47" s="18" t="n"/>
      <c r="D47" s="18" t="n"/>
      <c r="E47" s="18" t="n"/>
      <c r="F47" s="18" t="n"/>
      <c r="G47" s="19">
        <f>SUMIF(C2:C44,"Gelir",G2:G44)</f>
        <v/>
      </c>
      <c r="H47" s="18" t="n"/>
      <c r="I47" s="18" t="n"/>
      <c r="J47" s="18" t="n"/>
    </row>
    <row r="48">
      <c r="A48" s="18" t="inlineStr">
        <is>
          <t>Net Kasa</t>
        </is>
      </c>
      <c r="B48" s="18" t="n"/>
      <c r="C48" s="18" t="n"/>
      <c r="D48" s="18" t="n"/>
      <c r="E48" s="18" t="n"/>
      <c r="F48" s="18" t="n"/>
      <c r="G48" s="19">
        <f>G47-G46</f>
        <v/>
      </c>
      <c r="H48" s="18" t="n"/>
      <c r="I48" s="18" t="n"/>
      <c r="J48" s="18" t="n"/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2026-08-03T20:56:55Z</dcterms:created>
  <dcterms:modified xsi:type="dcterms:W3CDTF">2026-08-03T20:56:55Z</dcterms:modified>
</cp:coreProperties>
</file>