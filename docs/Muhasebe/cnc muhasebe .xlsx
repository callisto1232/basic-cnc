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fox/Documents/PROJECTS/DUCOFEX/Ducofex Industries/docs/Muhasebe/"/>
    </mc:Choice>
  </mc:AlternateContent>
  <xr:revisionPtr revIDLastSave="0" documentId="13_ncr:1_{88597CD4-465F-F442-9509-A1FBF11A8BF1}" xr6:coauthVersionLast="47" xr6:coauthVersionMax="47" xr10:uidLastSave="{00000000-0000-0000-0000-000000000000}"/>
  <bookViews>
    <workbookView xWindow="0" yWindow="680" windowWidth="23180" windowHeight="16000" tabRatio="500" xr2:uid="{00000000-000D-0000-FFFF-FFFF00000000}"/>
  </bookViews>
  <sheets>
    <sheet name="Sayfa1" sheetId="1" r:id="rId1"/>
  </sheets>
  <definedNames>
    <definedName name="_xlnm._FilterDatabase" localSheetId="0" hidden="1">Sayfa1!$A$1:$J$1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9" i="1" l="1"/>
  <c r="G37" i="1"/>
  <c r="G35" i="1"/>
  <c r="G34" i="1"/>
  <c r="G46" i="1" s="1"/>
  <c r="G33" i="1"/>
  <c r="G32" i="1"/>
  <c r="G31" i="1"/>
  <c r="G29" i="1"/>
  <c r="G28" i="1"/>
  <c r="G2" i="1"/>
  <c r="G45" i="1" s="1"/>
  <c r="G47" i="1" l="1"/>
  <c r="G27" i="1"/>
</calcChain>
</file>

<file path=xl/sharedStrings.xml><?xml version="1.0" encoding="utf-8"?>
<sst xmlns="http://schemas.openxmlformats.org/spreadsheetml/2006/main" count="166" uniqueCount="75">
  <si>
    <t>Kişi</t>
  </si>
  <si>
    <t>Tarih</t>
  </si>
  <si>
    <t>Tür</t>
  </si>
  <si>
    <t>Ürün / Hareket</t>
  </si>
  <si>
    <t>Adet</t>
  </si>
  <si>
    <t>Birim Fiyat</t>
  </si>
  <si>
    <t>Tutar</t>
  </si>
  <si>
    <t>Açıklama</t>
  </si>
  <si>
    <t>Link</t>
  </si>
  <si>
    <t>Durum / Not</t>
  </si>
  <si>
    <t>Ahmet</t>
  </si>
  <si>
    <t>Gider</t>
  </si>
  <si>
    <t>Spindle motor</t>
  </si>
  <si>
    <t>Ana işleme motoru</t>
  </si>
  <si>
    <t>Nema 17</t>
  </si>
  <si>
    <t>Robo90</t>
  </si>
  <si>
    <t>Limit Switch</t>
  </si>
  <si>
    <t>CNC Shield</t>
  </si>
  <si>
    <t>Motorobit</t>
  </si>
  <si>
    <t>Nodemcu V3</t>
  </si>
  <si>
    <t>SD Kart modülü</t>
  </si>
  <si>
    <t>ER11 Pens</t>
  </si>
  <si>
    <t>1200W booster</t>
  </si>
  <si>
    <t>600W güç kaynağı</t>
  </si>
  <si>
    <t>ikinci el</t>
  </si>
  <si>
    <t>Kayra</t>
  </si>
  <si>
    <t>Hosting alımı</t>
  </si>
  <si>
    <t>1 yıllık web hosting</t>
  </si>
  <si>
    <t>Domain alımı</t>
  </si>
  <si>
    <t>2 yıllık domain alımı</t>
  </si>
  <si>
    <t>A4988 Sürücü</t>
  </si>
  <si>
    <t>Rhino</t>
  </si>
  <si>
    <t>Malzeme</t>
  </si>
  <si>
    <t>Lehim ve sarf</t>
  </si>
  <si>
    <t>Sigma Profil</t>
  </si>
  <si>
    <t>6 m sigma profil + vida + somun</t>
  </si>
  <si>
    <t>Mil</t>
  </si>
  <si>
    <t>12 mm mil alımı ve kesimi</t>
  </si>
  <si>
    <t>Soğutma sist.</t>
  </si>
  <si>
    <t>Soğutma için 8 dirsek, 2 uç</t>
  </si>
  <si>
    <t>Vidalar</t>
  </si>
  <si>
    <t>M6/M4 vidalar + 8 mm dişli mil</t>
  </si>
  <si>
    <t>Domain yenileme</t>
  </si>
  <si>
    <t>Rulman</t>
  </si>
  <si>
    <t>8/12 mm rulman alımı</t>
  </si>
  <si>
    <t>Not</t>
  </si>
  <si>
    <t>Callisto</t>
  </si>
  <si>
    <t>foxkyra</t>
  </si>
  <si>
    <t>Kişi bazlı bakiye</t>
  </si>
  <si>
    <t>Eski toplam notu</t>
  </si>
  <si>
    <t>Ahmetin borcu</t>
  </si>
  <si>
    <t>07.04.26 itibariyle</t>
  </si>
  <si>
    <t>Borç ödendi</t>
  </si>
  <si>
    <t>Market fişi</t>
  </si>
  <si>
    <t>TPU filament</t>
  </si>
  <si>
    <t>Rhino3D için</t>
  </si>
  <si>
    <t>Gelir</t>
  </si>
  <si>
    <t>Tarık baba geliri</t>
  </si>
  <si>
    <t>Market</t>
  </si>
  <si>
    <t>Modem</t>
  </si>
  <si>
    <t>Börek</t>
  </si>
  <si>
    <t>Monitör</t>
  </si>
  <si>
    <t>Kayra için</t>
  </si>
  <si>
    <t>Siyah PLA</t>
  </si>
  <si>
    <t>Ahmet için</t>
  </si>
  <si>
    <t>Gemini plus</t>
  </si>
  <si>
    <t>Aylık 50 TL</t>
  </si>
  <si>
    <t>Trae</t>
  </si>
  <si>
    <t>Aylık 10 USD, Ahmet için</t>
  </si>
  <si>
    <t>Tarık baba sipariş</t>
  </si>
  <si>
    <t>Toplam Gider</t>
  </si>
  <si>
    <t>Toplam Gelir</t>
  </si>
  <si>
    <t>Net Kasa</t>
  </si>
  <si>
    <t>Efe</t>
  </si>
  <si>
    <t>Kasaya borç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</si>
</sst>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\₺#,##0.00;[Red]&quot;(₺&quot;#,##0.00\);\-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000000"/>
      <name val="Arial"/>
      <charset val="1"/>
    </font>
    <font>
      <b/>
      <sz val="11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7F9FC"/>
        <bgColor rgb="FFFFFFFF"/>
      </patternFill>
    </fill>
    <fill>
      <patternFill patternType="solid">
        <fgColor rgb="FFFDECEC"/>
        <bgColor rgb="FFF7F9FC"/>
      </patternFill>
    </fill>
    <fill>
      <patternFill patternType="solid">
        <fgColor rgb="FFFFFFFF"/>
        <bgColor rgb="FFF7F9FC"/>
      </patternFill>
    </fill>
    <fill>
      <patternFill patternType="solid">
        <fgColor rgb="FFEAF2FF"/>
        <bgColor rgb="FFF7F9FC"/>
      </patternFill>
    </fill>
    <fill>
      <patternFill patternType="solid">
        <fgColor rgb="FFE2F0D9"/>
        <bgColor rgb="FFEAF2FF"/>
      </patternFill>
    </fill>
  </fills>
  <borders count="4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>
      <left style="thin">
        <color rgb="FFD9DEE7"/>
      </left>
      <right style="thin">
        <color rgb="FFD9DEE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3" fontId="2" fillId="3" borderId="1" xfId="0" applyNumberFormat="1" applyFont="1" applyFill="1" applyBorder="1" applyAlignment="1">
      <alignment vertical="top" wrapText="1"/>
    </xf>
    <xf numFmtId="165" fontId="2" fillId="3" borderId="1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64" fontId="2" fillId="5" borderId="1" xfId="0" applyNumberFormat="1" applyFont="1" applyFill="1" applyBorder="1" applyAlignment="1">
      <alignment vertical="top" wrapText="1"/>
    </xf>
    <xf numFmtId="3" fontId="2" fillId="5" borderId="1" xfId="0" applyNumberFormat="1" applyFont="1" applyFill="1" applyBorder="1" applyAlignment="1">
      <alignment vertical="top" wrapText="1"/>
    </xf>
    <xf numFmtId="165" fontId="2" fillId="5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5" fontId="3" fillId="5" borderId="1" xfId="0" applyNumberFormat="1" applyFont="1" applyFill="1" applyBorder="1" applyAlignment="1">
      <alignment vertical="top" wrapText="1"/>
    </xf>
    <xf numFmtId="165" fontId="3" fillId="3" borderId="1" xfId="0" applyNumberFormat="1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top" wrapText="1"/>
    </xf>
    <xf numFmtId="165" fontId="4" fillId="7" borderId="2" xfId="0" applyNumberFormat="1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5" fontId="4" fillId="7" borderId="1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4" fontId="0" fillId="0" borderId="0" xfId="0" applyNumberFormat="1"/>
    <xf numFmtId="0" fontId="2" fillId="5" borderId="3" xfId="0" applyFont="1" applyFill="1" applyBorder="1" applyAlignment="1">
      <alignment vertical="top" wrapText="1"/>
    </xf>
    <xf numFmtId="3" fontId="2" fillId="3" borderId="3" xfId="0" applyNumberFormat="1" applyFont="1" applyFill="1" applyBorder="1" applyAlignment="1">
      <alignment vertical="top" wrapText="1"/>
    </xf>
    <xf numFmtId="165" fontId="2" fillId="3" borderId="3" xfId="0" applyNumberFormat="1" applyFont="1" applyFill="1" applyBorder="1" applyAlignment="1">
      <alignment vertical="top" wrapText="1"/>
    </xf>
    <xf numFmtId="165" fontId="2" fillId="4" borderId="3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showGridLines="0" tabSelected="1" zoomScale="139" zoomScaleNormal="100" workbookViewId="0">
      <pane ySplit="1" topLeftCell="A28" activePane="bottomLeft" state="frozen"/>
      <selection pane="bottomLeft" activeCell="G47" sqref="G47"/>
    </sheetView>
  </sheetViews>
  <sheetFormatPr baseColWidth="10" defaultColWidth="8.6640625" defaultRowHeight="15" x14ac:dyDescent="0.2"/>
  <cols>
    <col min="1" max="1" width="14" customWidth="1"/>
    <col min="2" max="2" width="12" customWidth="1"/>
    <col min="3" max="3" width="10" customWidth="1"/>
    <col min="4" max="4" width="24" customWidth="1"/>
    <col min="5" max="5" width="8" customWidth="1"/>
    <col min="6" max="7" width="14" customWidth="1"/>
    <col min="8" max="8" width="32" customWidth="1"/>
    <col min="9" max="9" width="18" customWidth="1"/>
    <col min="10" max="10" width="24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 t="s">
        <v>10</v>
      </c>
      <c r="B2" s="3">
        <v>46050</v>
      </c>
      <c r="C2" s="2" t="s">
        <v>11</v>
      </c>
      <c r="D2" s="2" t="s">
        <v>12</v>
      </c>
      <c r="E2" s="4">
        <v>1</v>
      </c>
      <c r="F2" s="5">
        <v>-1584</v>
      </c>
      <c r="G2" s="6">
        <f>IF(OR(E2="",F2=""),"",E2*F2)</f>
        <v>-1584</v>
      </c>
      <c r="H2" s="2" t="s">
        <v>13</v>
      </c>
      <c r="I2" s="2"/>
      <c r="J2" s="2"/>
    </row>
    <row r="3" spans="1:10" x14ac:dyDescent="0.2">
      <c r="A3" s="7" t="s">
        <v>10</v>
      </c>
      <c r="B3" s="8">
        <v>46050</v>
      </c>
      <c r="C3" s="7" t="s">
        <v>11</v>
      </c>
      <c r="D3" s="7" t="s">
        <v>14</v>
      </c>
      <c r="E3" s="9">
        <v>3</v>
      </c>
      <c r="F3" s="10">
        <v>-259.2</v>
      </c>
      <c r="G3" s="6">
        <v>-777.6</v>
      </c>
      <c r="H3" s="7" t="s">
        <v>15</v>
      </c>
      <c r="I3" s="7"/>
      <c r="J3" s="7"/>
    </row>
    <row r="4" spans="1:10" x14ac:dyDescent="0.2">
      <c r="A4" s="2" t="s">
        <v>10</v>
      </c>
      <c r="B4" s="3">
        <v>46050</v>
      </c>
      <c r="C4" s="2" t="s">
        <v>11</v>
      </c>
      <c r="D4" s="2" t="s">
        <v>16</v>
      </c>
      <c r="E4" s="4">
        <v>3</v>
      </c>
      <c r="F4" s="5">
        <v>-44.06</v>
      </c>
      <c r="G4" s="6">
        <v>-132.18</v>
      </c>
      <c r="H4" s="2" t="s">
        <v>15</v>
      </c>
      <c r="I4" s="2"/>
      <c r="J4" s="2"/>
    </row>
    <row r="5" spans="1:10" x14ac:dyDescent="0.2">
      <c r="A5" s="7" t="s">
        <v>10</v>
      </c>
      <c r="B5" s="8">
        <v>46050</v>
      </c>
      <c r="C5" s="7" t="s">
        <v>11</v>
      </c>
      <c r="D5" s="7" t="s">
        <v>17</v>
      </c>
      <c r="E5" s="9">
        <v>1</v>
      </c>
      <c r="F5" s="10">
        <v>-105.6</v>
      </c>
      <c r="G5" s="6">
        <v>-105.6</v>
      </c>
      <c r="H5" s="7" t="s">
        <v>18</v>
      </c>
      <c r="I5" s="7"/>
      <c r="J5" s="7"/>
    </row>
    <row r="6" spans="1:10" x14ac:dyDescent="0.2">
      <c r="A6" s="2" t="s">
        <v>10</v>
      </c>
      <c r="B6" s="3">
        <v>46050</v>
      </c>
      <c r="C6" s="2" t="s">
        <v>11</v>
      </c>
      <c r="D6" s="2" t="s">
        <v>19</v>
      </c>
      <c r="E6" s="4">
        <v>1</v>
      </c>
      <c r="F6" s="5">
        <v>-160.69999999999999</v>
      </c>
      <c r="G6" s="6">
        <v>-160.69999999999999</v>
      </c>
      <c r="H6" s="2" t="s">
        <v>15</v>
      </c>
      <c r="I6" s="2"/>
      <c r="J6" s="2"/>
    </row>
    <row r="7" spans="1:10" x14ac:dyDescent="0.2">
      <c r="A7" s="7" t="s">
        <v>10</v>
      </c>
      <c r="B7" s="8">
        <v>46050</v>
      </c>
      <c r="C7" s="7" t="s">
        <v>11</v>
      </c>
      <c r="D7" s="7" t="s">
        <v>20</v>
      </c>
      <c r="E7" s="9">
        <v>1</v>
      </c>
      <c r="F7" s="10">
        <v>-25.92</v>
      </c>
      <c r="G7" s="6">
        <v>-25.92</v>
      </c>
      <c r="H7" s="7" t="s">
        <v>15</v>
      </c>
      <c r="I7" s="7"/>
      <c r="J7" s="7"/>
    </row>
    <row r="8" spans="1:10" x14ac:dyDescent="0.2">
      <c r="A8" s="2" t="s">
        <v>10</v>
      </c>
      <c r="B8" s="3">
        <v>46050</v>
      </c>
      <c r="C8" s="2" t="s">
        <v>11</v>
      </c>
      <c r="D8" s="2" t="s">
        <v>21</v>
      </c>
      <c r="E8" s="4">
        <v>1</v>
      </c>
      <c r="F8" s="5">
        <v>-580.79999999999995</v>
      </c>
      <c r="G8" s="6">
        <v>-580.79999999999995</v>
      </c>
      <c r="H8" s="2" t="s">
        <v>18</v>
      </c>
      <c r="I8" s="2"/>
      <c r="J8" s="2"/>
    </row>
    <row r="9" spans="1:10" x14ac:dyDescent="0.2">
      <c r="A9" s="7" t="s">
        <v>10</v>
      </c>
      <c r="B9" s="8">
        <v>46050</v>
      </c>
      <c r="C9" s="7" t="s">
        <v>11</v>
      </c>
      <c r="D9" s="7" t="s">
        <v>22</v>
      </c>
      <c r="E9" s="9">
        <v>1</v>
      </c>
      <c r="F9" s="10">
        <v>-739.2</v>
      </c>
      <c r="G9" s="6">
        <v>-739.2</v>
      </c>
      <c r="H9" s="7" t="s">
        <v>18</v>
      </c>
      <c r="I9" s="7"/>
      <c r="J9" s="7"/>
    </row>
    <row r="10" spans="1:10" x14ac:dyDescent="0.2">
      <c r="A10" s="2" t="s">
        <v>10</v>
      </c>
      <c r="B10" s="3">
        <v>46050</v>
      </c>
      <c r="C10" s="2" t="s">
        <v>11</v>
      </c>
      <c r="D10" s="2" t="s">
        <v>23</v>
      </c>
      <c r="E10" s="4">
        <v>1</v>
      </c>
      <c r="F10" s="5">
        <v>-700</v>
      </c>
      <c r="G10" s="6">
        <v>-700</v>
      </c>
      <c r="H10" s="2" t="s">
        <v>24</v>
      </c>
      <c r="I10" s="2"/>
      <c r="J10" s="2"/>
    </row>
    <row r="11" spans="1:10" x14ac:dyDescent="0.2">
      <c r="A11" s="7" t="s">
        <v>25</v>
      </c>
      <c r="B11" s="8">
        <v>46050</v>
      </c>
      <c r="C11" s="7" t="s">
        <v>11</v>
      </c>
      <c r="D11" s="7" t="s">
        <v>12</v>
      </c>
      <c r="E11" s="9">
        <v>1</v>
      </c>
      <c r="F11" s="10">
        <v>-1584</v>
      </c>
      <c r="G11" s="6">
        <v>-1584</v>
      </c>
      <c r="H11" s="7" t="s">
        <v>18</v>
      </c>
      <c r="I11" s="7"/>
      <c r="J11" s="7"/>
    </row>
    <row r="12" spans="1:10" x14ac:dyDescent="0.2">
      <c r="A12" s="2" t="s">
        <v>25</v>
      </c>
      <c r="B12" s="3">
        <v>46050</v>
      </c>
      <c r="C12" s="2" t="s">
        <v>11</v>
      </c>
      <c r="D12" s="2" t="s">
        <v>23</v>
      </c>
      <c r="E12" s="4">
        <v>1</v>
      </c>
      <c r="F12" s="5">
        <v>-700</v>
      </c>
      <c r="G12" s="6">
        <v>-700</v>
      </c>
      <c r="H12" s="2" t="s">
        <v>24</v>
      </c>
      <c r="I12" s="2"/>
      <c r="J12" s="2"/>
    </row>
    <row r="13" spans="1:10" x14ac:dyDescent="0.2">
      <c r="A13" s="7" t="s">
        <v>25</v>
      </c>
      <c r="B13" s="8">
        <v>46050</v>
      </c>
      <c r="C13" s="7" t="s">
        <v>11</v>
      </c>
      <c r="D13" s="7" t="s">
        <v>17</v>
      </c>
      <c r="E13" s="9">
        <v>1</v>
      </c>
      <c r="F13" s="10">
        <v>-105.6</v>
      </c>
      <c r="G13" s="6">
        <v>-105.6</v>
      </c>
      <c r="H13" s="7" t="s">
        <v>18</v>
      </c>
      <c r="I13" s="7"/>
      <c r="J13" s="7"/>
    </row>
    <row r="14" spans="1:10" x14ac:dyDescent="0.2">
      <c r="A14" s="2" t="s">
        <v>25</v>
      </c>
      <c r="B14" s="3">
        <v>46050</v>
      </c>
      <c r="C14" s="2" t="s">
        <v>11</v>
      </c>
      <c r="D14" s="2" t="s">
        <v>21</v>
      </c>
      <c r="E14" s="4">
        <v>1</v>
      </c>
      <c r="F14" s="5">
        <v>-580.79999999999995</v>
      </c>
      <c r="G14" s="6">
        <v>-580.79999999999995</v>
      </c>
      <c r="H14" s="2" t="s">
        <v>18</v>
      </c>
      <c r="I14" s="2"/>
      <c r="J14" s="2"/>
    </row>
    <row r="15" spans="1:10" x14ac:dyDescent="0.2">
      <c r="A15" s="7" t="s">
        <v>25</v>
      </c>
      <c r="B15" s="8">
        <v>46066</v>
      </c>
      <c r="C15" s="7" t="s">
        <v>11</v>
      </c>
      <c r="D15" s="7" t="s">
        <v>26</v>
      </c>
      <c r="E15" s="9">
        <v>1</v>
      </c>
      <c r="F15" s="10">
        <v>-777.6</v>
      </c>
      <c r="G15" s="6">
        <v>-777.6</v>
      </c>
      <c r="H15" s="7" t="s">
        <v>27</v>
      </c>
      <c r="I15" s="7"/>
      <c r="J15" s="7"/>
    </row>
    <row r="16" spans="1:10" x14ac:dyDescent="0.2">
      <c r="A16" s="2" t="s">
        <v>25</v>
      </c>
      <c r="B16" s="3">
        <v>46066</v>
      </c>
      <c r="C16" s="2" t="s">
        <v>11</v>
      </c>
      <c r="D16" s="2" t="s">
        <v>28</v>
      </c>
      <c r="E16" s="4">
        <v>1</v>
      </c>
      <c r="F16" s="5">
        <v>-1219.6600000000001</v>
      </c>
      <c r="G16" s="6">
        <v>-1219.6600000000001</v>
      </c>
      <c r="H16" s="2" t="s">
        <v>29</v>
      </c>
      <c r="I16" s="2"/>
      <c r="J16" s="2"/>
    </row>
    <row r="17" spans="1:10" x14ac:dyDescent="0.2">
      <c r="A17" s="7" t="s">
        <v>10</v>
      </c>
      <c r="B17" s="8">
        <v>46071</v>
      </c>
      <c r="C17" s="7" t="s">
        <v>11</v>
      </c>
      <c r="D17" s="7" t="s">
        <v>30</v>
      </c>
      <c r="E17" s="9">
        <v>4</v>
      </c>
      <c r="F17" s="10">
        <v>-70.349999999999994</v>
      </c>
      <c r="G17" s="6">
        <v>-281.39999999999998</v>
      </c>
      <c r="H17" s="7" t="s">
        <v>31</v>
      </c>
      <c r="I17" s="7"/>
      <c r="J17" s="7"/>
    </row>
    <row r="18" spans="1:10" x14ac:dyDescent="0.2">
      <c r="A18" s="2" t="s">
        <v>25</v>
      </c>
      <c r="B18" s="3">
        <v>46075</v>
      </c>
      <c r="C18" s="2" t="s">
        <v>11</v>
      </c>
      <c r="D18" s="2" t="s">
        <v>32</v>
      </c>
      <c r="E18" s="4">
        <v>1</v>
      </c>
      <c r="F18" s="5">
        <v>-360</v>
      </c>
      <c r="G18" s="6">
        <v>-360</v>
      </c>
      <c r="H18" s="2" t="s">
        <v>33</v>
      </c>
      <c r="I18" s="2"/>
      <c r="J18" s="2"/>
    </row>
    <row r="19" spans="1:10" x14ac:dyDescent="0.2">
      <c r="A19" s="7" t="s">
        <v>25</v>
      </c>
      <c r="B19" s="8">
        <v>46098</v>
      </c>
      <c r="C19" s="7" t="s">
        <v>11</v>
      </c>
      <c r="D19" s="7" t="s">
        <v>34</v>
      </c>
      <c r="E19" s="9">
        <v>1</v>
      </c>
      <c r="F19" s="10">
        <v>-2496.69</v>
      </c>
      <c r="G19" s="6">
        <v>-2496.69</v>
      </c>
      <c r="H19" s="7" t="s">
        <v>35</v>
      </c>
      <c r="I19" s="7"/>
      <c r="J19" s="7"/>
    </row>
    <row r="20" spans="1:10" x14ac:dyDescent="0.2">
      <c r="A20" s="2" t="s">
        <v>25</v>
      </c>
      <c r="B20" s="3">
        <v>46098</v>
      </c>
      <c r="C20" s="2" t="s">
        <v>11</v>
      </c>
      <c r="D20" s="2" t="s">
        <v>36</v>
      </c>
      <c r="E20" s="4">
        <v>3</v>
      </c>
      <c r="F20" s="5">
        <v>-200</v>
      </c>
      <c r="G20" s="6">
        <v>-600</v>
      </c>
      <c r="H20" s="2" t="s">
        <v>37</v>
      </c>
      <c r="I20" s="2"/>
      <c r="J20" s="2"/>
    </row>
    <row r="21" spans="1:10" x14ac:dyDescent="0.2">
      <c r="A21" s="7" t="s">
        <v>25</v>
      </c>
      <c r="B21" s="8">
        <v>46098</v>
      </c>
      <c r="C21" s="7" t="s">
        <v>11</v>
      </c>
      <c r="D21" s="7" t="s">
        <v>38</v>
      </c>
      <c r="E21" s="9">
        <v>1</v>
      </c>
      <c r="F21" s="10">
        <v>-100</v>
      </c>
      <c r="G21" s="6">
        <v>-100</v>
      </c>
      <c r="H21" s="7" t="s">
        <v>39</v>
      </c>
      <c r="I21" s="7"/>
      <c r="J21" s="7"/>
    </row>
    <row r="22" spans="1:10" x14ac:dyDescent="0.2">
      <c r="A22" s="2" t="s">
        <v>25</v>
      </c>
      <c r="B22" s="3">
        <v>46098</v>
      </c>
      <c r="C22" s="2" t="s">
        <v>11</v>
      </c>
      <c r="D22" s="2" t="s">
        <v>40</v>
      </c>
      <c r="E22" s="4">
        <v>1</v>
      </c>
      <c r="F22" s="5">
        <v>-150</v>
      </c>
      <c r="G22" s="6">
        <v>-150</v>
      </c>
      <c r="H22" s="2" t="s">
        <v>41</v>
      </c>
      <c r="I22" s="2"/>
      <c r="J22" s="2"/>
    </row>
    <row r="23" spans="1:10" x14ac:dyDescent="0.2">
      <c r="A23" s="7" t="s">
        <v>25</v>
      </c>
      <c r="B23" s="8">
        <v>46096</v>
      </c>
      <c r="C23" s="7" t="s">
        <v>11</v>
      </c>
      <c r="D23" s="7" t="s">
        <v>28</v>
      </c>
      <c r="E23" s="9">
        <v>1</v>
      </c>
      <c r="F23" s="10">
        <v>-335.15</v>
      </c>
      <c r="G23" s="6">
        <v>-335.15</v>
      </c>
      <c r="H23" s="7" t="s">
        <v>42</v>
      </c>
      <c r="I23" s="7"/>
      <c r="J23" s="7"/>
    </row>
    <row r="24" spans="1:10" x14ac:dyDescent="0.2">
      <c r="A24" s="2" t="s">
        <v>10</v>
      </c>
      <c r="B24" s="3">
        <v>46096</v>
      </c>
      <c r="C24" s="2" t="s">
        <v>11</v>
      </c>
      <c r="D24" s="2" t="s">
        <v>28</v>
      </c>
      <c r="E24" s="4">
        <v>1</v>
      </c>
      <c r="F24" s="5">
        <v>-335.16</v>
      </c>
      <c r="G24" s="6">
        <v>-335.16</v>
      </c>
      <c r="H24" s="2" t="s">
        <v>42</v>
      </c>
      <c r="I24" s="2"/>
      <c r="J24" s="2"/>
    </row>
    <row r="25" spans="1:10" x14ac:dyDescent="0.2">
      <c r="A25" s="7" t="s">
        <v>25</v>
      </c>
      <c r="B25" s="8">
        <v>46098</v>
      </c>
      <c r="C25" s="7" t="s">
        <v>11</v>
      </c>
      <c r="D25" s="7" t="s">
        <v>43</v>
      </c>
      <c r="E25" s="9">
        <v>30</v>
      </c>
      <c r="F25" s="10">
        <v>-40</v>
      </c>
      <c r="G25" s="6">
        <v>-1200</v>
      </c>
      <c r="H25" s="7" t="s">
        <v>44</v>
      </c>
      <c r="I25" s="7"/>
      <c r="J25" s="7"/>
    </row>
    <row r="26" spans="1:10" x14ac:dyDescent="0.2">
      <c r="A26" s="11"/>
      <c r="B26" s="11"/>
      <c r="C26" s="11" t="s">
        <v>45</v>
      </c>
      <c r="D26" s="11" t="s">
        <v>46</v>
      </c>
      <c r="E26" s="11"/>
      <c r="F26" s="11"/>
      <c r="G26" s="11"/>
      <c r="H26" s="11"/>
      <c r="I26" s="11"/>
      <c r="J26" s="11" t="s">
        <v>47</v>
      </c>
    </row>
    <row r="27" spans="1:10" x14ac:dyDescent="0.2">
      <c r="A27" s="12" t="s">
        <v>10</v>
      </c>
      <c r="B27" s="12"/>
      <c r="C27" s="12" t="s">
        <v>45</v>
      </c>
      <c r="D27" s="12" t="s">
        <v>48</v>
      </c>
      <c r="E27" s="12"/>
      <c r="F27" s="12"/>
      <c r="G27" s="13">
        <f>SUMIFS($G$2:$G$43,$A$2:$A$43,"Ahmet",$C$2:$C$43,"&lt;&gt;Not")</f>
        <v>-6882.5599999999986</v>
      </c>
      <c r="H27" s="12" t="s">
        <v>49</v>
      </c>
      <c r="I27" s="12"/>
      <c r="J27" s="12"/>
    </row>
    <row r="28" spans="1:10" x14ac:dyDescent="0.2">
      <c r="A28" s="11" t="s">
        <v>25</v>
      </c>
      <c r="B28" s="11"/>
      <c r="C28" s="11" t="s">
        <v>45</v>
      </c>
      <c r="D28" s="11" t="s">
        <v>48</v>
      </c>
      <c r="E28" s="11"/>
      <c r="F28" s="11"/>
      <c r="G28" s="14">
        <f>SUMIFS($G$2:$G$43,$A$2:$A$43,"Kayra",$C$2:$C$43,"&lt;&gt;Not")</f>
        <v>-11809.5</v>
      </c>
      <c r="H28" s="11" t="s">
        <v>49</v>
      </c>
      <c r="I28" s="11"/>
      <c r="J28" s="11"/>
    </row>
    <row r="29" spans="1:10" x14ac:dyDescent="0.2">
      <c r="A29" s="12"/>
      <c r="B29" s="12"/>
      <c r="C29" s="12" t="s">
        <v>45</v>
      </c>
      <c r="D29" s="12" t="s">
        <v>50</v>
      </c>
      <c r="E29" s="12"/>
      <c r="F29" s="12"/>
      <c r="G29" s="13">
        <f>(10209-5422)/2</f>
        <v>2393.5</v>
      </c>
      <c r="H29" s="12"/>
      <c r="I29" s="12"/>
      <c r="J29" s="12" t="s">
        <v>51</v>
      </c>
    </row>
    <row r="30" spans="1:10" x14ac:dyDescent="0.2">
      <c r="A30" s="11"/>
      <c r="B30" s="11"/>
      <c r="C30" s="11" t="s">
        <v>45</v>
      </c>
      <c r="D30" s="11" t="s">
        <v>52</v>
      </c>
      <c r="E30" s="11"/>
      <c r="F30" s="11"/>
      <c r="G30" s="11"/>
      <c r="H30" s="11"/>
      <c r="I30" s="11"/>
      <c r="J30" s="11"/>
    </row>
    <row r="31" spans="1:10" x14ac:dyDescent="0.2">
      <c r="A31" s="7"/>
      <c r="B31" s="8">
        <v>46119</v>
      </c>
      <c r="C31" s="7" t="s">
        <v>11</v>
      </c>
      <c r="D31" s="7" t="s">
        <v>15</v>
      </c>
      <c r="E31" s="9">
        <v>1</v>
      </c>
      <c r="F31" s="10">
        <v>1125</v>
      </c>
      <c r="G31" s="6">
        <f>IF(OR(E31="",F31=""),"",E31*F31)</f>
        <v>1125</v>
      </c>
      <c r="H31" s="7"/>
      <c r="I31" s="7"/>
      <c r="J31" s="7"/>
    </row>
    <row r="32" spans="1:10" x14ac:dyDescent="0.2">
      <c r="A32" s="2"/>
      <c r="B32" s="2"/>
      <c r="C32" s="2" t="s">
        <v>11</v>
      </c>
      <c r="D32" s="2" t="s">
        <v>53</v>
      </c>
      <c r="E32" s="4">
        <v>1</v>
      </c>
      <c r="F32" s="5">
        <v>600</v>
      </c>
      <c r="G32" s="6">
        <f>IF(OR(E32="",F32=""),"",E32*F32)</f>
        <v>600</v>
      </c>
      <c r="H32" s="2"/>
      <c r="I32" s="2"/>
      <c r="J32" s="2"/>
    </row>
    <row r="33" spans="1:10" x14ac:dyDescent="0.2">
      <c r="A33" s="7"/>
      <c r="B33" s="7"/>
      <c r="C33" s="7" t="s">
        <v>11</v>
      </c>
      <c r="D33" s="7" t="s">
        <v>54</v>
      </c>
      <c r="E33" s="9">
        <v>1</v>
      </c>
      <c r="F33" s="10">
        <v>902</v>
      </c>
      <c r="G33" s="6">
        <f>IF(OR(E33="",F33=""),"",E33*F33)</f>
        <v>902</v>
      </c>
      <c r="H33" s="7" t="s">
        <v>55</v>
      </c>
      <c r="I33" s="7"/>
      <c r="J33" s="7"/>
    </row>
    <row r="34" spans="1:10" x14ac:dyDescent="0.2">
      <c r="A34" s="2"/>
      <c r="B34" s="2"/>
      <c r="C34" s="15" t="s">
        <v>56</v>
      </c>
      <c r="D34" s="2" t="s">
        <v>57</v>
      </c>
      <c r="E34" s="4">
        <v>1</v>
      </c>
      <c r="F34" s="5">
        <v>600</v>
      </c>
      <c r="G34" s="5">
        <f>IF(OR(E34="",F34=""),"",E34*F34)</f>
        <v>600</v>
      </c>
      <c r="H34" s="2"/>
      <c r="I34" s="2"/>
      <c r="J34" s="2"/>
    </row>
    <row r="35" spans="1:10" x14ac:dyDescent="0.2">
      <c r="A35" s="7"/>
      <c r="B35" s="7"/>
      <c r="C35" s="7" t="s">
        <v>11</v>
      </c>
      <c r="D35" s="7" t="s">
        <v>58</v>
      </c>
      <c r="E35" s="9">
        <v>1</v>
      </c>
      <c r="F35" s="10">
        <v>370</v>
      </c>
      <c r="G35" s="6">
        <f>IF(OR(E35="",F35=""),"",E35*F35)</f>
        <v>370</v>
      </c>
      <c r="H35" s="7"/>
      <c r="I35" s="7"/>
      <c r="J35" s="7"/>
    </row>
    <row r="36" spans="1:10" x14ac:dyDescent="0.2">
      <c r="A36" s="2" t="s">
        <v>10</v>
      </c>
      <c r="B36" s="2"/>
      <c r="C36" s="2" t="s">
        <v>11</v>
      </c>
      <c r="D36" s="2" t="s">
        <v>59</v>
      </c>
      <c r="E36" s="4">
        <v>1</v>
      </c>
      <c r="F36" s="5">
        <v>-1000</v>
      </c>
      <c r="G36" s="6">
        <v>-1000</v>
      </c>
      <c r="H36" s="2"/>
      <c r="I36" s="2"/>
      <c r="J36" s="2"/>
    </row>
    <row r="37" spans="1:10" x14ac:dyDescent="0.2">
      <c r="A37" s="7"/>
      <c r="B37" s="7"/>
      <c r="C37" s="7" t="s">
        <v>11</v>
      </c>
      <c r="D37" s="7" t="s">
        <v>60</v>
      </c>
      <c r="E37" s="9">
        <v>1</v>
      </c>
      <c r="F37" s="10">
        <v>400</v>
      </c>
      <c r="G37" s="6">
        <f>IF(OR(E37="",F37=""),"",E37*F37)</f>
        <v>400</v>
      </c>
      <c r="H37" s="7"/>
      <c r="I37" s="7"/>
      <c r="J37" s="7"/>
    </row>
    <row r="38" spans="1:10" x14ac:dyDescent="0.2">
      <c r="A38" s="2" t="s">
        <v>25</v>
      </c>
      <c r="B38" s="2"/>
      <c r="C38" s="2" t="s">
        <v>11</v>
      </c>
      <c r="D38" s="2" t="s">
        <v>61</v>
      </c>
      <c r="E38" s="4">
        <v>1</v>
      </c>
      <c r="F38" s="5">
        <v>-1600</v>
      </c>
      <c r="G38" s="6">
        <v>-1600</v>
      </c>
      <c r="H38" s="2" t="s">
        <v>62</v>
      </c>
      <c r="I38" s="2"/>
      <c r="J38" s="2"/>
    </row>
    <row r="39" spans="1:10" x14ac:dyDescent="0.2">
      <c r="A39" s="7" t="s">
        <v>10</v>
      </c>
      <c r="B39" s="7"/>
      <c r="C39" s="7" t="s">
        <v>11</v>
      </c>
      <c r="D39" s="7" t="s">
        <v>63</v>
      </c>
      <c r="E39" s="9">
        <v>1</v>
      </c>
      <c r="F39" s="10">
        <v>550</v>
      </c>
      <c r="G39" s="6">
        <f>IF(OR(E39="",F39=""),"",E39*F39)</f>
        <v>550</v>
      </c>
      <c r="H39" s="7" t="s">
        <v>64</v>
      </c>
      <c r="I39" s="7"/>
      <c r="J39" s="7"/>
    </row>
    <row r="40" spans="1:10" x14ac:dyDescent="0.2">
      <c r="A40" s="2" t="s">
        <v>10</v>
      </c>
      <c r="B40" s="3">
        <v>46190</v>
      </c>
      <c r="C40" s="2" t="s">
        <v>11</v>
      </c>
      <c r="D40" s="2" t="s">
        <v>65</v>
      </c>
      <c r="E40" s="4">
        <v>1</v>
      </c>
      <c r="F40" s="5">
        <v>-50</v>
      </c>
      <c r="G40" s="6">
        <v>-50</v>
      </c>
      <c r="H40" s="2" t="s">
        <v>66</v>
      </c>
      <c r="I40" s="2"/>
      <c r="J40" s="2"/>
    </row>
    <row r="41" spans="1:10" x14ac:dyDescent="0.2">
      <c r="A41" s="7" t="s">
        <v>10</v>
      </c>
      <c r="B41" s="8">
        <v>46195</v>
      </c>
      <c r="C41" s="7" t="s">
        <v>11</v>
      </c>
      <c r="D41" s="7" t="s">
        <v>67</v>
      </c>
      <c r="E41" s="9">
        <v>1</v>
      </c>
      <c r="F41" s="10">
        <v>-480</v>
      </c>
      <c r="G41" s="6">
        <v>-480</v>
      </c>
      <c r="H41" s="7" t="s">
        <v>68</v>
      </c>
      <c r="I41" s="7"/>
      <c r="J41" s="7"/>
    </row>
    <row r="42" spans="1:10" x14ac:dyDescent="0.2">
      <c r="A42" s="2"/>
      <c r="B42" s="3">
        <v>46196</v>
      </c>
      <c r="C42" s="15" t="s">
        <v>56</v>
      </c>
      <c r="D42" s="2" t="s">
        <v>69</v>
      </c>
      <c r="E42" s="4">
        <v>1</v>
      </c>
      <c r="F42" s="5">
        <v>950</v>
      </c>
      <c r="G42" s="5">
        <v>950</v>
      </c>
      <c r="H42" s="2"/>
      <c r="I42" s="2"/>
      <c r="J42" s="2"/>
    </row>
    <row r="43" spans="1:10" x14ac:dyDescent="0.2">
      <c r="A43" s="7" t="s">
        <v>10</v>
      </c>
      <c r="B43" s="8">
        <v>46225</v>
      </c>
      <c r="C43" s="7" t="s">
        <v>11</v>
      </c>
      <c r="D43" s="7" t="s">
        <v>67</v>
      </c>
      <c r="E43" s="9">
        <v>1</v>
      </c>
      <c r="F43" s="10">
        <v>-480</v>
      </c>
      <c r="G43" s="6">
        <v>-480</v>
      </c>
      <c r="H43" s="7" t="s">
        <v>68</v>
      </c>
      <c r="I43" s="7"/>
      <c r="J43" s="7"/>
    </row>
    <row r="44" spans="1:10" x14ac:dyDescent="0.2">
      <c r="A44" s="20" t="s">
        <v>73</v>
      </c>
      <c r="B44" s="21">
        <v>46238</v>
      </c>
      <c r="C44" s="22" t="s">
        <v>56</v>
      </c>
      <c r="D44" s="20" t="s">
        <v>74</v>
      </c>
      <c r="E44" s="23">
        <v>1</v>
      </c>
      <c r="F44" s="24">
        <v>3000</v>
      </c>
      <c r="G44" s="25">
        <v>3000</v>
      </c>
    </row>
    <row r="45" spans="1:10" x14ac:dyDescent="0.2">
      <c r="A45" s="16" t="s">
        <v>70</v>
      </c>
      <c r="B45" s="16"/>
      <c r="C45" s="16"/>
      <c r="D45" s="16"/>
      <c r="E45" s="16"/>
      <c r="F45" s="16"/>
      <c r="G45" s="17">
        <f>ABS(SUMIF(C2:C43,"Gider",G2:G43))</f>
        <v>15295.06</v>
      </c>
      <c r="H45" s="16"/>
      <c r="I45" s="16"/>
      <c r="J45" s="16"/>
    </row>
    <row r="46" spans="1:10" x14ac:dyDescent="0.2">
      <c r="A46" s="18" t="s">
        <v>71</v>
      </c>
      <c r="B46" s="18"/>
      <c r="C46" s="18"/>
      <c r="D46" s="18"/>
      <c r="E46" s="18"/>
      <c r="F46" s="18"/>
      <c r="G46" s="19">
        <f>SUMIF(C2:C43,"Gelir",G2:G43)</f>
        <v>1550</v>
      </c>
      <c r="H46" s="18"/>
      <c r="I46" s="18"/>
      <c r="J46" s="18"/>
    </row>
    <row r="47" spans="1:10" x14ac:dyDescent="0.2">
      <c r="A47" s="18" t="s">
        <v>72</v>
      </c>
      <c r="B47" s="18"/>
      <c r="C47" s="18"/>
      <c r="D47" s="18"/>
      <c r="E47" s="18"/>
      <c r="F47" s="18"/>
      <c r="G47" s="19">
        <f>G46-G45</f>
        <v>-13745.06</v>
      </c>
      <c r="H47" s="18"/>
      <c r="I47" s="18"/>
      <c r="J47" s="18"/>
    </row>
  </sheetData>
  <autoFilter ref="A1:J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0</cp:revision>
  <dcterms:created xsi:type="dcterms:W3CDTF">2026-08-03T21:02:27Z</dcterms:created>
  <dcterms:modified xsi:type="dcterms:W3CDTF">2026-08-03T21:04:54Z</dcterms:modified>
  <dc:language>en-TR</dc:language>
</cp:coreProperties>
</file>